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morris/Dropbox/SEMESTERS/HKUST/Spring2020/ACCTG2200/S10&amp;11/"/>
    </mc:Choice>
  </mc:AlternateContent>
  <xr:revisionPtr revIDLastSave="0" documentId="13_ncr:1_{4110FBCB-D570-A440-88E6-81550299C749}" xr6:coauthVersionLast="46" xr6:coauthVersionMax="46" xr10:uidLastSave="{00000000-0000-0000-0000-000000000000}"/>
  <bookViews>
    <workbookView xWindow="0" yWindow="21600" windowWidth="38400" windowHeight="21600" xr2:uid="{BE779BBF-591C-C943-B9E3-6AC96D6EECBF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L7" i="1"/>
  <c r="K7" i="1"/>
  <c r="I7" i="1"/>
  <c r="J7" i="1"/>
  <c r="D6" i="1"/>
  <c r="C7" i="1"/>
  <c r="B7" i="1"/>
  <c r="C8" i="1" s="1"/>
  <c r="H7" i="1"/>
  <c r="G6" i="1"/>
  <c r="F7" i="1"/>
  <c r="E7" i="1"/>
  <c r="F8" i="1" s="1"/>
  <c r="F12" i="1" s="1"/>
  <c r="C16" i="1" l="1"/>
  <c r="C12" i="1"/>
  <c r="I16" i="1"/>
  <c r="I12" i="1"/>
  <c r="F16" i="1"/>
</calcChain>
</file>

<file path=xl/sharedStrings.xml><?xml version="1.0" encoding="utf-8"?>
<sst xmlns="http://schemas.openxmlformats.org/spreadsheetml/2006/main" count="19" uniqueCount="17">
  <si>
    <t>Compare shift in mix from 80/20 to 50/50</t>
  </si>
  <si>
    <t>50/50</t>
  </si>
  <si>
    <t>33/33/33</t>
  </si>
  <si>
    <t>Coffee</t>
  </si>
  <si>
    <t>Pastry</t>
  </si>
  <si>
    <t>Hats</t>
  </si>
  <si>
    <t>Shirts</t>
  </si>
  <si>
    <t>Fancy Coffee</t>
  </si>
  <si>
    <t>Super Fancy</t>
  </si>
  <si>
    <t>Super Extra</t>
  </si>
  <si>
    <t>Unit Contribution Margin</t>
  </si>
  <si>
    <t>Unit Mix (weight)</t>
  </si>
  <si>
    <t>Weighted-average unit contribution margin:</t>
  </si>
  <si>
    <t>Fixed Cost:</t>
  </si>
  <si>
    <t>Break even units</t>
  </si>
  <si>
    <t>Target Profit</t>
  </si>
  <si>
    <t>Target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</si>
</sst>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/>
    </xf>
    <xf numFmtId="164" fontId="2" fillId="0" borderId="0" xfId="0" applyNumberFormat="1" applyFont="1"/>
    <xf numFmtId="9" fontId="2" fillId="0" borderId="0" xfId="2" applyFont="1"/>
    <xf numFmtId="165" fontId="3" fillId="0" borderId="0" xfId="1" applyNumberFormat="1" applyFont="1"/>
    <xf numFmtId="9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A037-C89D-0A46-B613-E60A06CE5119}">
  <dimension ref="A1:L17"/>
  <sheetViews>
    <sheetView tabSelected="1" topLeftCell="E1" zoomScale="170" zoomScaleNormal="170" workbookViewId="0">
      <selection activeCell="I9" sqref="I9"/>
    </sheetView>
  </sheetViews>
  <sheetFormatPr defaultColWidth="11" defaultRowHeight="15.95"/>
  <cols>
    <col min="1" max="1" width="36.125" bestFit="1" customWidth="1"/>
    <col min="3" max="3" width="12.5" bestFit="1" customWidth="1"/>
    <col min="6" max="6" width="14.125" customWidth="1"/>
    <col min="9" max="9" width="13" customWidth="1"/>
  </cols>
  <sheetData>
    <row r="1" spans="1:12">
      <c r="A1" t="s">
        <v>0</v>
      </c>
    </row>
    <row r="2" spans="1:12" ht="15.75"/>
    <row r="3" spans="1:12" ht="15.95" customHeight="1">
      <c r="B3" s="8" t="s">
        <v>1</v>
      </c>
      <c r="C3" s="8"/>
      <c r="E3" s="8"/>
      <c r="F3" s="8"/>
      <c r="H3" s="9" t="s">
        <v>2</v>
      </c>
      <c r="I3" s="9"/>
      <c r="J3" s="9"/>
    </row>
    <row r="4" spans="1:12" ht="15.95" customHeight="1">
      <c r="B4" s="3" t="s">
        <v>3</v>
      </c>
      <c r="C4" s="3" t="s">
        <v>4</v>
      </c>
      <c r="E4" s="3" t="s">
        <v>5</v>
      </c>
      <c r="F4" s="3" t="s">
        <v>6</v>
      </c>
      <c r="H4" s="3" t="s">
        <v>3</v>
      </c>
      <c r="I4" s="3" t="s">
        <v>4</v>
      </c>
      <c r="J4" t="s">
        <v>7</v>
      </c>
      <c r="K4" t="s">
        <v>8</v>
      </c>
      <c r="L4" t="s">
        <v>9</v>
      </c>
    </row>
    <row r="5" spans="1:12" ht="15.95" customHeight="1">
      <c r="A5" t="s">
        <v>10</v>
      </c>
      <c r="B5" s="4">
        <v>1.5</v>
      </c>
      <c r="C5" s="4">
        <v>2.75</v>
      </c>
      <c r="E5" s="4">
        <v>4</v>
      </c>
      <c r="F5" s="4">
        <v>7</v>
      </c>
      <c r="H5" s="4">
        <v>1.5</v>
      </c>
      <c r="I5" s="4">
        <v>2.75</v>
      </c>
      <c r="J5" s="1">
        <v>4</v>
      </c>
      <c r="K5">
        <v>6</v>
      </c>
      <c r="L5">
        <v>8</v>
      </c>
    </row>
    <row r="6" spans="1:12" ht="15.95" customHeight="1">
      <c r="A6" t="s">
        <v>11</v>
      </c>
      <c r="B6" s="5">
        <v>0.5</v>
      </c>
      <c r="C6" s="5">
        <v>0.5</v>
      </c>
      <c r="D6" s="7">
        <f>SUM(B6:C6)</f>
        <v>1</v>
      </c>
      <c r="E6" s="5">
        <v>0.8</v>
      </c>
      <c r="F6" s="5">
        <v>0.2</v>
      </c>
      <c r="G6" s="7">
        <f>SUM(E6:F6)</f>
        <v>1</v>
      </c>
      <c r="H6" s="5">
        <v>0.2</v>
      </c>
      <c r="I6" s="5">
        <v>0.2</v>
      </c>
      <c r="J6" s="5">
        <v>0.2</v>
      </c>
      <c r="K6">
        <v>0.2</v>
      </c>
      <c r="L6">
        <v>0.2</v>
      </c>
    </row>
    <row r="7" spans="1:12" ht="15.95" customHeight="1">
      <c r="B7" s="1">
        <f>B6*B5</f>
        <v>0.75</v>
      </c>
      <c r="C7" s="1">
        <f>C6*C5</f>
        <v>1.375</v>
      </c>
      <c r="E7" s="1">
        <f>E6*E5</f>
        <v>3.2</v>
      </c>
      <c r="F7" s="1">
        <f>F6*F5</f>
        <v>1.4000000000000001</v>
      </c>
      <c r="H7" s="1">
        <f>H6*H5</f>
        <v>0.30000000000000004</v>
      </c>
      <c r="I7" s="1">
        <f>I6*I5</f>
        <v>0.55000000000000004</v>
      </c>
      <c r="J7" s="1">
        <f>J5*J6</f>
        <v>0.8</v>
      </c>
      <c r="K7" s="1">
        <f t="shared" ref="K7:L7" si="0">K5*K6</f>
        <v>1.2000000000000002</v>
      </c>
      <c r="L7" s="1">
        <f t="shared" si="0"/>
        <v>1.6</v>
      </c>
    </row>
    <row r="8" spans="1:12" ht="15.95" customHeight="1">
      <c r="A8" t="s">
        <v>12</v>
      </c>
      <c r="C8" s="1">
        <f>SUM(B7:C7)</f>
        <v>2.125</v>
      </c>
      <c r="F8" s="1">
        <f>SUM(E7:F7)</f>
        <v>4.6000000000000005</v>
      </c>
      <c r="I8" s="1">
        <f>SUM(H7:L7)</f>
        <v>4.4500000000000011</v>
      </c>
    </row>
    <row r="9" spans="1:12" ht="15.95" customHeight="1"/>
    <row r="10" spans="1:12" ht="15.95" customHeight="1">
      <c r="A10" t="s">
        <v>13</v>
      </c>
      <c r="C10" s="4">
        <v>12000</v>
      </c>
      <c r="F10" s="4">
        <v>9000</v>
      </c>
      <c r="I10" s="4">
        <v>12000</v>
      </c>
    </row>
    <row r="11" spans="1:12" ht="15.95" customHeight="1"/>
    <row r="12" spans="1:12" ht="15.95" customHeight="1">
      <c r="A12" t="s">
        <v>14</v>
      </c>
      <c r="C12" s="6">
        <f>C10/C8</f>
        <v>5647.0588235294117</v>
      </c>
      <c r="F12" s="6">
        <f>F10/F8</f>
        <v>1956.5217391304345</v>
      </c>
      <c r="G12" s="2"/>
      <c r="I12" s="6">
        <f>I10/I8</f>
        <v>2696.6292134831456</v>
      </c>
    </row>
    <row r="13" spans="1:12" ht="15.95" customHeight="1"/>
    <row r="14" spans="1:12" ht="15.95" customHeight="1">
      <c r="A14" t="s">
        <v>15</v>
      </c>
      <c r="C14" s="4">
        <v>9000</v>
      </c>
      <c r="F14" s="4">
        <v>100000</v>
      </c>
      <c r="I14" s="4">
        <v>9000</v>
      </c>
    </row>
    <row r="15" spans="1:12" ht="15.95" customHeight="1"/>
    <row r="16" spans="1:12" ht="15.95" customHeight="1">
      <c r="A16" t="s">
        <v>16</v>
      </c>
      <c r="C16" s="6">
        <f>SUM(C14,C10)/C8</f>
        <v>9882.3529411764703</v>
      </c>
      <c r="F16" s="6">
        <f>SUM(F14,F10)/F8</f>
        <v>23695.65217391304</v>
      </c>
      <c r="G16" s="2"/>
      <c r="I16" s="6">
        <f>SUM(I14,I10)/I8</f>
        <v>4719.1011235955048</v>
      </c>
    </row>
    <row r="17" ht="15.75"/>
  </sheetData>
  <mergeCells count="3">
    <mergeCell ref="B3:C3"/>
    <mergeCell ref="E3:F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Arthur Morris</cp:lastModifiedBy>
  <cp:revision/>
  <dcterms:created xsi:type="dcterms:W3CDTF">2020-03-31T04:36:14Z</dcterms:created>
  <dcterms:modified xsi:type="dcterms:W3CDTF">2021-03-10T04:34:05Z</dcterms:modified>
  <cp:category/>
  <cp:contentStatus/>
</cp:coreProperties>
</file>