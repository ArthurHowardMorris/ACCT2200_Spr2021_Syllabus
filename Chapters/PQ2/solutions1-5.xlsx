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morris/Dropbox/SEMESTERS/HKUST/Spring2021/ACCTG2200/PC2/"/>
    </mc:Choice>
  </mc:AlternateContent>
  <xr:revisionPtr revIDLastSave="0" documentId="13_ncr:1_{0F99911E-D283-3B4C-923A-262F5DB81D9E}" xr6:coauthVersionLast="46" xr6:coauthVersionMax="46" xr10:uidLastSave="{00000000-0000-0000-0000-000000000000}"/>
  <bookViews>
    <workbookView xWindow="5580" yWindow="2300" windowWidth="27640" windowHeight="16940" xr2:uid="{CFC16AA7-98C3-634A-B805-CD73D1B47E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D39" i="1"/>
  <c r="D38" i="1"/>
  <c r="D37" i="1"/>
  <c r="E39" i="1"/>
  <c r="C39" i="1"/>
  <c r="B39" i="1"/>
  <c r="C38" i="1"/>
  <c r="B38" i="1"/>
  <c r="E38" i="1"/>
  <c r="G40" i="1"/>
  <c r="G39" i="1" s="1"/>
  <c r="C40" i="1" s="1"/>
  <c r="E37" i="1"/>
  <c r="C37" i="1"/>
  <c r="B37" i="1"/>
  <c r="E29" i="1"/>
  <c r="C29" i="1"/>
  <c r="D31" i="1" s="1"/>
  <c r="D32" i="1" s="1"/>
  <c r="B29" i="1"/>
  <c r="B30" i="1" s="1"/>
  <c r="D29" i="1"/>
  <c r="D28" i="1"/>
  <c r="E31" i="1"/>
  <c r="C31" i="1"/>
  <c r="E30" i="1"/>
  <c r="D30" i="1"/>
  <c r="C30" i="1"/>
  <c r="G31" i="1"/>
  <c r="E28" i="1"/>
  <c r="C28" i="1"/>
  <c r="B28" i="1"/>
  <c r="D19" i="1"/>
  <c r="D20" i="1" s="1"/>
  <c r="D22" i="1" s="1"/>
  <c r="D23" i="1" s="1"/>
  <c r="C19" i="1"/>
  <c r="B13" i="1"/>
  <c r="C13" i="1" s="1"/>
  <c r="D13" i="1" s="1"/>
  <c r="D41" i="1" l="1"/>
  <c r="E40" i="1"/>
  <c r="C20" i="1"/>
  <c r="C22" i="1" s="1"/>
  <c r="C23" i="1" s="1"/>
  <c r="B20" i="1"/>
  <c r="B22" i="1" s="1"/>
  <c r="B23" i="1" s="1"/>
</calcChain>
</file>

<file path=xl/sharedStrings.xml><?xml version="1.0" encoding="utf-8"?>
<sst xmlns="http://schemas.openxmlformats.org/spreadsheetml/2006/main" count="54" uniqueCount="35">
  <si>
    <t>Marlow Company produces hand tools. A production budget for the next four months is as follows: March 10,300 units, April 13,540, May 16,900, and June 21,700. Marlow Company's ending finished goods inventory policy is 15% of the following month's sales. Meadow plans to sell 16,600 units in May. How many units will be sold in April?</t>
  </si>
  <si>
    <t>This problem is mostly algebra:</t>
  </si>
  <si>
    <t>April production (13,540) equals the number sold in April (A), plus the beginning inventory for May (15% of May's projected sales), less the beginning inventory for April (15% of April sales, or 15% of A). 
A + (16,600 × 15%) − (A × 15%) = 13,540.
If we solve for A: 
85% × A = (13,540 − 2490) = 11,050. 
Divide each side of the equation by 85% to determine that A equals 13,000.</t>
  </si>
  <si>
    <t>Jillian Inc. produces leather handbags. The production budget for the next four months is: July 5800 units, August 7000, September 7800, October 8100. Each handbag requires 1.5 hours of unskilled labor (paid $18 per hour) and 2.5 hours of skilled labor (paid $25 per hour). How much will be paid to skilled labor during the three months July through September?</t>
  </si>
  <si>
    <t>Jul</t>
  </si>
  <si>
    <t>Production</t>
  </si>
  <si>
    <t>Aug</t>
  </si>
  <si>
    <t>Sept</t>
  </si>
  <si>
    <t>Hrs/Unit</t>
  </si>
  <si>
    <t>Total</t>
  </si>
  <si>
    <t>DLH</t>
  </si>
  <si>
    <t>DL$</t>
  </si>
  <si>
    <t>$/hr</t>
  </si>
  <si>
    <t>Larken has forecast sales for the next three months as follows: July 4,600 units, August 6,300 units, September 8,100 units. Larken's policy is to have an ending inventory of 40% of the next month's sales needs on hand. July 1 inventory is projected to be 1,840 units. Monthly manufacturing overhead is budgeted to be $17,200 plus $7 per unit produced. What is budgeted manufacturing overhead for July?</t>
  </si>
  <si>
    <t>Sales</t>
  </si>
  <si>
    <t>Inventory</t>
  </si>
  <si>
    <t>Standard Inv</t>
  </si>
  <si>
    <t>Produce</t>
  </si>
  <si>
    <t>fixed OH</t>
  </si>
  <si>
    <t>VOH rate</t>
  </si>
  <si>
    <t>VOH</t>
  </si>
  <si>
    <t>OH</t>
  </si>
  <si>
    <t>May</t>
  </si>
  <si>
    <t>Jun</t>
  </si>
  <si>
    <t>Sale</t>
  </si>
  <si>
    <t>% Cash</t>
  </si>
  <si>
    <t>Cash</t>
  </si>
  <si>
    <t>% Credit</t>
  </si>
  <si>
    <t>Credit</t>
  </si>
  <si>
    <t>Collect</t>
  </si>
  <si>
    <t xml:space="preserve">% Credit this month </t>
  </si>
  <si>
    <t>%credit next month</t>
  </si>
  <si>
    <t>credit from last month</t>
  </si>
  <si>
    <t>credit from this month</t>
  </si>
  <si>
    <t>Accts Rec: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</si>
</sst>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$-409]* #,##0.00_);_([$$-409]* \(#,##0.00\);_([$$-409]* &quot;-&quot;??_);_(@_)"/>
  </numFmts>
  <fonts count="4" x14ac:knownFonts="1"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u val="singleAccounting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 wrapText="1"/>
    </xf>
    <xf numFmtId="0" fontId="1" fillId="0" borderId="0" xfId="0" applyFont="1"/>
    <xf numFmtId="168" fontId="0" fillId="0" borderId="0" xfId="0" applyNumberFormat="1"/>
    <xf numFmtId="0" fontId="0" fillId="0" borderId="0" xfId="0" applyAlignment="1">
      <alignment horizontal="left" vertical="top" wrapText="1"/>
    </xf>
    <xf numFmtId="3" fontId="0" fillId="0" borderId="0" xfId="0" applyNumberFormat="1"/>
    <xf numFmtId="0" fontId="0" fillId="0" borderId="1" xfId="0" applyBorder="1"/>
    <xf numFmtId="0" fontId="2" fillId="0" borderId="0" xfId="0" applyFont="1"/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2C24-674D-4B4C-8E4D-5BC4889FA2D4}">
  <dimension ref="A1:H41"/>
  <sheetViews>
    <sheetView tabSelected="1" workbookViewId="0">
      <selection activeCell="I10" sqref="I10"/>
    </sheetView>
  </sheetViews>
  <sheetFormatPr baseColWidth="10" defaultRowHeight="16" x14ac:dyDescent="0.2"/>
  <cols>
    <col min="1" max="1" width="27.33203125" bestFit="1" customWidth="1"/>
    <col min="4" max="4" width="14" bestFit="1" customWidth="1"/>
    <col min="6" max="6" width="18" bestFit="1" customWidth="1"/>
  </cols>
  <sheetData>
    <row r="1" spans="1:8" x14ac:dyDescent="0.2">
      <c r="A1" s="3">
        <v>1</v>
      </c>
    </row>
    <row r="2" spans="1:8" ht="73" customHeight="1" x14ac:dyDescent="0.2">
      <c r="A2" s="2" t="s">
        <v>0</v>
      </c>
      <c r="B2" s="2"/>
      <c r="C2" s="2"/>
      <c r="D2" s="2"/>
      <c r="E2" s="2"/>
      <c r="F2" s="2"/>
      <c r="G2" s="2"/>
      <c r="H2" s="2"/>
    </row>
    <row r="3" spans="1:8" x14ac:dyDescent="0.2">
      <c r="A3" s="1" t="s">
        <v>1</v>
      </c>
    </row>
    <row r="5" spans="1:8" ht="183" customHeight="1" x14ac:dyDescent="0.2">
      <c r="A5" s="2" t="s">
        <v>2</v>
      </c>
      <c r="B5" s="2"/>
      <c r="C5" s="2"/>
      <c r="D5" s="2"/>
      <c r="E5" s="2"/>
      <c r="F5" s="2"/>
      <c r="G5" s="2"/>
      <c r="H5" s="2"/>
    </row>
    <row r="7" spans="1:8" x14ac:dyDescent="0.2">
      <c r="A7" s="3">
        <v>2</v>
      </c>
    </row>
    <row r="8" spans="1:8" ht="96" customHeight="1" x14ac:dyDescent="0.2">
      <c r="A8" s="2" t="s">
        <v>3</v>
      </c>
      <c r="B8" s="2"/>
      <c r="C8" s="2"/>
      <c r="D8" s="2"/>
      <c r="E8" s="2"/>
      <c r="F8" s="2"/>
      <c r="G8" s="2"/>
      <c r="H8" s="2"/>
    </row>
    <row r="9" spans="1:8" x14ac:dyDescent="0.2">
      <c r="B9" t="s">
        <v>5</v>
      </c>
      <c r="C9" t="s">
        <v>8</v>
      </c>
      <c r="D9" t="s">
        <v>12</v>
      </c>
    </row>
    <row r="10" spans="1:8" x14ac:dyDescent="0.2">
      <c r="A10" t="s">
        <v>4</v>
      </c>
      <c r="B10">
        <v>5800</v>
      </c>
      <c r="C10">
        <v>2.5</v>
      </c>
      <c r="D10" s="4">
        <v>25</v>
      </c>
    </row>
    <row r="11" spans="1:8" x14ac:dyDescent="0.2">
      <c r="A11" t="s">
        <v>6</v>
      </c>
      <c r="B11">
        <v>7000</v>
      </c>
    </row>
    <row r="12" spans="1:8" x14ac:dyDescent="0.2">
      <c r="A12" t="s">
        <v>7</v>
      </c>
      <c r="B12">
        <v>7800</v>
      </c>
      <c r="C12" t="s">
        <v>10</v>
      </c>
      <c r="D12" t="s">
        <v>11</v>
      </c>
    </row>
    <row r="13" spans="1:8" ht="19" x14ac:dyDescent="0.35">
      <c r="A13" t="s">
        <v>9</v>
      </c>
      <c r="B13">
        <f>SUM(B10:B12)</f>
        <v>20600</v>
      </c>
      <c r="C13">
        <f>C10*B13</f>
        <v>51500</v>
      </c>
      <c r="D13" s="9">
        <f>D10*C13</f>
        <v>1287500</v>
      </c>
    </row>
    <row r="15" spans="1:8" x14ac:dyDescent="0.2">
      <c r="A15" s="3">
        <v>3</v>
      </c>
    </row>
    <row r="16" spans="1:8" ht="80" customHeight="1" x14ac:dyDescent="0.2">
      <c r="A16" s="2" t="s">
        <v>13</v>
      </c>
      <c r="B16" s="2"/>
      <c r="C16" s="2"/>
      <c r="D16" s="2"/>
      <c r="E16" s="2"/>
      <c r="F16" s="2"/>
      <c r="G16" s="2"/>
      <c r="H16" s="2"/>
    </row>
    <row r="17" spans="1:7" x14ac:dyDescent="0.2">
      <c r="A17" s="5"/>
      <c r="B17" t="s">
        <v>4</v>
      </c>
      <c r="C17" t="s">
        <v>6</v>
      </c>
      <c r="D17" t="s">
        <v>7</v>
      </c>
      <c r="E17" t="s">
        <v>16</v>
      </c>
      <c r="F17">
        <v>0.4</v>
      </c>
    </row>
    <row r="18" spans="1:7" x14ac:dyDescent="0.2">
      <c r="A18" t="s">
        <v>14</v>
      </c>
      <c r="B18" s="6">
        <v>4600</v>
      </c>
      <c r="C18" s="6">
        <v>6300</v>
      </c>
      <c r="D18" s="6">
        <v>8100</v>
      </c>
    </row>
    <row r="19" spans="1:7" x14ac:dyDescent="0.2">
      <c r="A19" t="s">
        <v>15</v>
      </c>
      <c r="B19" s="6">
        <v>1840</v>
      </c>
      <c r="C19">
        <f>C18*$F$17</f>
        <v>2520</v>
      </c>
      <c r="D19">
        <f>D18*$F$17</f>
        <v>3240</v>
      </c>
    </row>
    <row r="20" spans="1:7" x14ac:dyDescent="0.2">
      <c r="A20" t="s">
        <v>17</v>
      </c>
      <c r="B20" s="6">
        <f>B18-B19+C19</f>
        <v>5280</v>
      </c>
      <c r="C20" s="6">
        <f>C18-C19+D19</f>
        <v>7020</v>
      </c>
      <c r="D20" s="6">
        <f>D18-D19+E19</f>
        <v>4860</v>
      </c>
    </row>
    <row r="21" spans="1:7" x14ac:dyDescent="0.2">
      <c r="A21" t="s">
        <v>18</v>
      </c>
      <c r="B21">
        <v>17200</v>
      </c>
      <c r="C21">
        <v>17200</v>
      </c>
      <c r="D21">
        <v>17200</v>
      </c>
      <c r="E21" t="s">
        <v>19</v>
      </c>
      <c r="F21">
        <v>7</v>
      </c>
    </row>
    <row r="22" spans="1:7" x14ac:dyDescent="0.2">
      <c r="A22" t="s">
        <v>20</v>
      </c>
      <c r="B22">
        <f>B20*$F$21</f>
        <v>36960</v>
      </c>
      <c r="C22">
        <f t="shared" ref="C22:D22" si="0">C20*$F$21</f>
        <v>49140</v>
      </c>
      <c r="D22">
        <f t="shared" si="0"/>
        <v>34020</v>
      </c>
    </row>
    <row r="23" spans="1:7" x14ac:dyDescent="0.2">
      <c r="A23" t="s">
        <v>21</v>
      </c>
      <c r="B23" s="7">
        <f>SUM(B21:B22)</f>
        <v>54160</v>
      </c>
      <c r="C23">
        <f t="shared" ref="C23:D23" si="1">SUM(C21:C22)</f>
        <v>66340</v>
      </c>
      <c r="D23">
        <f t="shared" si="1"/>
        <v>51220</v>
      </c>
    </row>
    <row r="25" spans="1:7" x14ac:dyDescent="0.2">
      <c r="A25" s="3">
        <v>4</v>
      </c>
    </row>
    <row r="26" spans="1:7" x14ac:dyDescent="0.2">
      <c r="B26" t="s">
        <v>22</v>
      </c>
      <c r="C26" t="s">
        <v>23</v>
      </c>
      <c r="D26" t="s">
        <v>4</v>
      </c>
      <c r="E26" t="s">
        <v>6</v>
      </c>
    </row>
    <row r="27" spans="1:7" x14ac:dyDescent="0.2">
      <c r="A27" t="s">
        <v>24</v>
      </c>
      <c r="B27">
        <v>411000</v>
      </c>
      <c r="C27">
        <v>486000</v>
      </c>
      <c r="D27">
        <v>586000</v>
      </c>
      <c r="E27">
        <v>711000</v>
      </c>
    </row>
    <row r="28" spans="1:7" x14ac:dyDescent="0.2">
      <c r="A28" t="s">
        <v>26</v>
      </c>
      <c r="B28">
        <f>B27*$G$28</f>
        <v>164400</v>
      </c>
      <c r="C28">
        <f t="shared" ref="C28:E28" si="2">C27*$G$28</f>
        <v>194400</v>
      </c>
      <c r="D28">
        <f>D27*$G$28</f>
        <v>234400</v>
      </c>
      <c r="E28">
        <f t="shared" si="2"/>
        <v>284400</v>
      </c>
      <c r="F28" t="s">
        <v>25</v>
      </c>
      <c r="G28">
        <v>0.4</v>
      </c>
    </row>
    <row r="29" spans="1:7" x14ac:dyDescent="0.2">
      <c r="A29" t="s">
        <v>28</v>
      </c>
      <c r="B29" s="8">
        <f t="shared" ref="B29:E29" si="3">B27*$G$29</f>
        <v>246600</v>
      </c>
      <c r="C29" s="8">
        <f t="shared" si="3"/>
        <v>291600</v>
      </c>
      <c r="D29" s="8">
        <f>D27*$G$29</f>
        <v>351600</v>
      </c>
      <c r="E29" s="8">
        <f t="shared" ref="E29" si="4">E27*$G$29</f>
        <v>426600</v>
      </c>
      <c r="F29" t="s">
        <v>27</v>
      </c>
      <c r="G29">
        <v>0.6</v>
      </c>
    </row>
    <row r="30" spans="1:7" x14ac:dyDescent="0.2">
      <c r="A30" t="s">
        <v>33</v>
      </c>
      <c r="B30">
        <f>B29*$G$30</f>
        <v>147960</v>
      </c>
      <c r="C30">
        <f t="shared" ref="C30:E30" si="5">C29*$G$30</f>
        <v>174960</v>
      </c>
      <c r="D30">
        <f t="shared" si="5"/>
        <v>210960</v>
      </c>
      <c r="E30">
        <f t="shared" si="5"/>
        <v>255960</v>
      </c>
      <c r="F30" t="s">
        <v>30</v>
      </c>
      <c r="G30">
        <v>0.6</v>
      </c>
    </row>
    <row r="31" spans="1:7" x14ac:dyDescent="0.2">
      <c r="A31" t="s">
        <v>32</v>
      </c>
      <c r="C31">
        <f>B29*$G$31</f>
        <v>98640</v>
      </c>
      <c r="D31">
        <f t="shared" ref="D31:E31" si="6">C29*$G$31</f>
        <v>116640</v>
      </c>
      <c r="E31">
        <f t="shared" si="6"/>
        <v>140640</v>
      </c>
      <c r="F31" t="s">
        <v>31</v>
      </c>
      <c r="G31">
        <f>0.4</f>
        <v>0.4</v>
      </c>
    </row>
    <row r="32" spans="1:7" x14ac:dyDescent="0.2">
      <c r="A32" t="s">
        <v>29</v>
      </c>
      <c r="D32" s="7">
        <f>SUM(D31,D30,D28)</f>
        <v>562000</v>
      </c>
    </row>
    <row r="34" spans="1:7" x14ac:dyDescent="0.2">
      <c r="A34" s="3">
        <v>5</v>
      </c>
    </row>
    <row r="35" spans="1:7" x14ac:dyDescent="0.2">
      <c r="B35" t="s">
        <v>22</v>
      </c>
      <c r="C35" t="s">
        <v>23</v>
      </c>
      <c r="D35" t="s">
        <v>4</v>
      </c>
      <c r="E35" t="s">
        <v>6</v>
      </c>
      <c r="F35" t="s">
        <v>34</v>
      </c>
      <c r="G35">
        <v>109800</v>
      </c>
    </row>
    <row r="36" spans="1:7" x14ac:dyDescent="0.2">
      <c r="A36" t="s">
        <v>24</v>
      </c>
      <c r="B36">
        <v>310000</v>
      </c>
      <c r="C36">
        <v>385000</v>
      </c>
      <c r="D36">
        <v>485000</v>
      </c>
      <c r="E36">
        <v>610000</v>
      </c>
    </row>
    <row r="37" spans="1:7" x14ac:dyDescent="0.2">
      <c r="A37" t="s">
        <v>26</v>
      </c>
      <c r="B37">
        <f>B36*$G37</f>
        <v>124000</v>
      </c>
      <c r="C37">
        <f t="shared" ref="C37:E40" si="7">C36*$G37</f>
        <v>154000</v>
      </c>
      <c r="D37">
        <f>D36*$G37</f>
        <v>194000</v>
      </c>
      <c r="E37">
        <f t="shared" si="7"/>
        <v>244000</v>
      </c>
      <c r="F37" t="s">
        <v>25</v>
      </c>
      <c r="G37">
        <v>0.4</v>
      </c>
    </row>
    <row r="38" spans="1:7" x14ac:dyDescent="0.2">
      <c r="A38" t="s">
        <v>28</v>
      </c>
      <c r="B38">
        <f t="shared" ref="B38:D38" si="8">B36*$G38</f>
        <v>186000</v>
      </c>
      <c r="C38">
        <f t="shared" si="8"/>
        <v>231000</v>
      </c>
      <c r="D38">
        <f>D36*$G38</f>
        <v>291000</v>
      </c>
      <c r="E38">
        <f>E36*$G38</f>
        <v>366000</v>
      </c>
      <c r="F38" t="s">
        <v>27</v>
      </c>
      <c r="G38">
        <v>0.6</v>
      </c>
    </row>
    <row r="39" spans="1:7" x14ac:dyDescent="0.2">
      <c r="A39" t="s">
        <v>33</v>
      </c>
      <c r="B39">
        <f>B38*$G37</f>
        <v>74400</v>
      </c>
      <c r="C39">
        <f t="shared" ref="C39:E39" si="9">C38*$G37</f>
        <v>92400</v>
      </c>
      <c r="D39">
        <f>D38*$G39</f>
        <v>203700</v>
      </c>
      <c r="E39">
        <f t="shared" si="9"/>
        <v>146400</v>
      </c>
      <c r="F39" t="s">
        <v>30</v>
      </c>
      <c r="G39">
        <f>1-G40</f>
        <v>0.7</v>
      </c>
    </row>
    <row r="40" spans="1:7" x14ac:dyDescent="0.2">
      <c r="A40" t="s">
        <v>32</v>
      </c>
      <c r="C40">
        <f>B39*$G39</f>
        <v>52080</v>
      </c>
      <c r="D40">
        <f>C38*$G40</f>
        <v>69300</v>
      </c>
      <c r="E40">
        <f>D39*$G39</f>
        <v>142590</v>
      </c>
      <c r="F40" t="s">
        <v>31</v>
      </c>
      <c r="G40">
        <f>G35/E38</f>
        <v>0.3</v>
      </c>
    </row>
    <row r="41" spans="1:7" x14ac:dyDescent="0.2">
      <c r="A41" t="s">
        <v>29</v>
      </c>
      <c r="D41" s="7">
        <f>SUM(D40,D39,D37)</f>
        <v>467000</v>
      </c>
    </row>
  </sheetData>
  <mergeCells count="4">
    <mergeCell ref="A2:H2"/>
    <mergeCell ref="A5:H5"/>
    <mergeCell ref="A8:H8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2021-04-30T04:47:00Z</dcterms:created>
  <dcterms:modified xsi:type="dcterms:W3CDTF">2021-04-30T05:42:40Z</dcterms:modified>
</cp:coreProperties>
</file>